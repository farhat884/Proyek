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ulasi Step-By-Ste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Raw Text</t>
        </is>
      </c>
      <c r="B1" t="inlineStr">
        <is>
          <t>Case Folding</t>
        </is>
      </c>
      <c r="C1" t="inlineStr">
        <is>
          <t>Normalization</t>
        </is>
      </c>
      <c r="D1" t="inlineStr">
        <is>
          <t>Remove Noise</t>
        </is>
      </c>
      <c r="E1" t="inlineStr">
        <is>
          <t>Tokenization</t>
        </is>
      </c>
      <c r="F1" t="inlineStr">
        <is>
          <t>Stopword Removal</t>
        </is>
      </c>
      <c r="G1" t="inlineStr">
        <is>
          <t>Stemming</t>
        </is>
      </c>
      <c r="H1" t="inlineStr">
        <is>
          <t>TF-IDF 'terrible'</t>
        </is>
      </c>
      <c r="I1" t="inlineStr">
        <is>
          <t>TF-IDF 'bad'</t>
        </is>
      </c>
      <c r="J1" t="inlineStr">
        <is>
          <t>TF-IDF 'worst'</t>
        </is>
      </c>
      <c r="K1" t="inlineStr">
        <is>
          <t>TF-IDF 'hate'</t>
        </is>
      </c>
      <c r="L1" t="inlineStr">
        <is>
          <t>TF-IDF 'good'</t>
        </is>
      </c>
      <c r="M1" t="inlineStr">
        <is>
          <t>TF-IDF 'love'</t>
        </is>
      </c>
      <c r="N1" t="inlineStr">
        <is>
          <t>TF-IDF 'great'</t>
        </is>
      </c>
      <c r="O1" t="inlineStr">
        <is>
          <t>TF-IDF 'excellent'</t>
        </is>
      </c>
      <c r="P1" t="inlineStr">
        <is>
          <t>SVM Prediction</t>
        </is>
      </c>
      <c r="Q1" t="inlineStr">
        <is>
          <t>RF Prediction</t>
        </is>
      </c>
      <c r="R1" t="inlineStr">
        <is>
          <t>CLV Lifespan (Bulan)</t>
        </is>
      </c>
      <c r="S1" t="inlineStr">
        <is>
          <t>CLV Potential Loss (Rp)</t>
        </is>
      </c>
    </row>
    <row r="2">
      <c r="A2" t="inlineStr">
        <is>
          <t>Terrible. Why make it harder to watch 😐 silblings shouls be able to split the netflix bill and still live in a different house.</t>
        </is>
      </c>
      <c r="B2">
        <f>VBA_CaseFolding(A2)</f>
        <v/>
      </c>
      <c r="C2">
        <f>VBA_Normalization(B2)</f>
        <v/>
      </c>
      <c r="D2">
        <f>VBA_RemoveNoise(C2)</f>
        <v/>
      </c>
      <c r="E2">
        <f>VBA_Tokenize(D2)</f>
        <v/>
      </c>
      <c r="F2">
        <f>VBA_RemoveStopwords(E2)</f>
        <v/>
      </c>
      <c r="G2">
        <f>VBA_Stemming(F2)</f>
        <v/>
      </c>
      <c r="H2">
        <f>VBA_TFIDF_terribl(G2)</f>
        <v/>
      </c>
      <c r="I2">
        <f>VBA_TFIDF_bad(G2)</f>
        <v/>
      </c>
      <c r="J2">
        <f>VBA_TFIDF_worst(G2)</f>
        <v/>
      </c>
      <c r="K2">
        <f>VBA_TFIDF_hate(G2)</f>
        <v/>
      </c>
      <c r="L2">
        <f>VBA_TFIDF_good(G2)</f>
        <v/>
      </c>
      <c r="M2">
        <f>VBA_TFIDF_love(G2)</f>
        <v/>
      </c>
      <c r="N2">
        <f>VBA_TFIDF_great(G2)</f>
        <v/>
      </c>
      <c r="O2">
        <f>VBA_TFIDF_excellent(G2)</f>
        <v/>
      </c>
      <c r="P2">
        <f>VBA_Predict_SVM(H2:O2)</f>
        <v/>
      </c>
      <c r="Q2">
        <f>VBA_Predict_RF(H2:O2)</f>
        <v/>
      </c>
      <c r="R2">
        <f>VBA_CLV_Lifespan(P2)</f>
        <v/>
      </c>
      <c r="S2">
        <f>VBA_CLV_Loss(R2)</f>
        <v/>
      </c>
    </row>
    <row r="3">
      <c r="A3" t="inlineStr">
        <is>
          <t>Used to be amazing, too bad they decided to make the user interface and overall experience an absolute abortion.</t>
        </is>
      </c>
      <c r="B3">
        <f>VBA_CaseFolding(A3)</f>
        <v/>
      </c>
      <c r="C3">
        <f>VBA_Normalization(B3)</f>
        <v/>
      </c>
      <c r="D3">
        <f>VBA_RemoveNoise(C3)</f>
        <v/>
      </c>
      <c r="E3">
        <f>VBA_Tokenize(D3)</f>
        <v/>
      </c>
      <c r="F3">
        <f>VBA_RemoveStopwords(E3)</f>
        <v/>
      </c>
      <c r="G3">
        <f>VBA_Stemming(F3)</f>
        <v/>
      </c>
      <c r="H3">
        <f>VBA_TFIDF_terribl(G3)</f>
        <v/>
      </c>
      <c r="I3">
        <f>VBA_TFIDF_bad(G3)</f>
        <v/>
      </c>
      <c r="J3">
        <f>VBA_TFIDF_worst(G3)</f>
        <v/>
      </c>
      <c r="K3">
        <f>VBA_TFIDF_hate(G3)</f>
        <v/>
      </c>
      <c r="L3">
        <f>VBA_TFIDF_good(G3)</f>
        <v/>
      </c>
      <c r="M3">
        <f>VBA_TFIDF_love(G3)</f>
        <v/>
      </c>
      <c r="N3">
        <f>VBA_TFIDF_great(G3)</f>
        <v/>
      </c>
      <c r="O3">
        <f>VBA_TFIDF_excellent(G3)</f>
        <v/>
      </c>
      <c r="P3">
        <f>VBA_Predict_SVM(H3:O3)</f>
        <v/>
      </c>
      <c r="Q3">
        <f>VBA_Predict_RF(H3:O3)</f>
        <v/>
      </c>
      <c r="R3">
        <f>VBA_CLV_Lifespan(P3)</f>
        <v/>
      </c>
      <c r="S3">
        <f>VBA_CLV_Loss(R3)</f>
        <v/>
      </c>
    </row>
    <row r="4">
      <c r="A4" t="inlineStr">
        <is>
          <t>The last Update of the App Design might have been a nice idea but I practise is incredibly difficult to use. I am not able to find ANYTHING and the recommendations don't actually matter when I can't find the category that I am looking for! It's like scrolling through the terms and conditions just to get to the accept/deny button, annoying! I hope this is only the Beta version, because I would really like my old design back, please!</t>
        </is>
      </c>
      <c r="B4">
        <f>VBA_CaseFolding(A4)</f>
        <v/>
      </c>
      <c r="C4">
        <f>VBA_Normalization(B4)</f>
        <v/>
      </c>
      <c r="D4">
        <f>VBA_RemoveNoise(C4)</f>
        <v/>
      </c>
      <c r="E4">
        <f>VBA_Tokenize(D4)</f>
        <v/>
      </c>
      <c r="F4">
        <f>VBA_RemoveStopwords(E4)</f>
        <v/>
      </c>
      <c r="G4">
        <f>VBA_Stemming(F4)</f>
        <v/>
      </c>
      <c r="H4">
        <f>VBA_TFIDF_terribl(G4)</f>
        <v/>
      </c>
      <c r="I4">
        <f>VBA_TFIDF_bad(G4)</f>
        <v/>
      </c>
      <c r="J4">
        <f>VBA_TFIDF_worst(G4)</f>
        <v/>
      </c>
      <c r="K4">
        <f>VBA_TFIDF_hate(G4)</f>
        <v/>
      </c>
      <c r="L4">
        <f>VBA_TFIDF_good(G4)</f>
        <v/>
      </c>
      <c r="M4">
        <f>VBA_TFIDF_love(G4)</f>
        <v/>
      </c>
      <c r="N4">
        <f>VBA_TFIDF_great(G4)</f>
        <v/>
      </c>
      <c r="O4">
        <f>VBA_TFIDF_excellent(G4)</f>
        <v/>
      </c>
      <c r="P4">
        <f>VBA_Predict_SVM(H4:O4)</f>
        <v/>
      </c>
      <c r="Q4">
        <f>VBA_Predict_RF(H4:O4)</f>
        <v/>
      </c>
      <c r="R4">
        <f>VBA_CLV_Lifespan(P4)</f>
        <v/>
      </c>
      <c r="S4">
        <f>VBA_CLV_Loss(R4)</f>
        <v/>
      </c>
    </row>
    <row r="5">
      <c r="A5" t="inlineStr">
        <is>
          <t>NETFLIX is kind of great, but it doesn't have that much movies i like.and its not for free on my chrome. well, it is, but you have to pay every month.so its not that great.</t>
        </is>
      </c>
      <c r="B5">
        <f>VBA_CaseFolding(A5)</f>
        <v/>
      </c>
      <c r="C5">
        <f>VBA_Normalization(B5)</f>
        <v/>
      </c>
      <c r="D5">
        <f>VBA_RemoveNoise(C5)</f>
        <v/>
      </c>
      <c r="E5">
        <f>VBA_Tokenize(D5)</f>
        <v/>
      </c>
      <c r="F5">
        <f>VBA_RemoveStopwords(E5)</f>
        <v/>
      </c>
      <c r="G5">
        <f>VBA_Stemming(F5)</f>
        <v/>
      </c>
      <c r="H5">
        <f>VBA_TFIDF_terribl(G5)</f>
        <v/>
      </c>
      <c r="I5">
        <f>VBA_TFIDF_bad(G5)</f>
        <v/>
      </c>
      <c r="J5">
        <f>VBA_TFIDF_worst(G5)</f>
        <v/>
      </c>
      <c r="K5">
        <f>VBA_TFIDF_hate(G5)</f>
        <v/>
      </c>
      <c r="L5">
        <f>VBA_TFIDF_good(G5)</f>
        <v/>
      </c>
      <c r="M5">
        <f>VBA_TFIDF_love(G5)</f>
        <v/>
      </c>
      <c r="N5">
        <f>VBA_TFIDF_great(G5)</f>
        <v/>
      </c>
      <c r="O5">
        <f>VBA_TFIDF_excellent(G5)</f>
        <v/>
      </c>
      <c r="P5">
        <f>VBA_Predict_SVM(H5:O5)</f>
        <v/>
      </c>
      <c r="Q5">
        <f>VBA_Predict_RF(H5:O5)</f>
        <v/>
      </c>
      <c r="R5">
        <f>VBA_CLV_Lifespan(P5)</f>
        <v/>
      </c>
      <c r="S5">
        <f>VBA_CLV_Loss(R5)</f>
        <v/>
      </c>
    </row>
    <row r="6">
      <c r="A6" t="inlineStr">
        <is>
          <t>NR.1</t>
        </is>
      </c>
      <c r="B6">
        <f>VBA_CaseFolding(A6)</f>
        <v/>
      </c>
      <c r="C6">
        <f>VBA_Normalization(B6)</f>
        <v/>
      </c>
      <c r="D6">
        <f>VBA_RemoveNoise(C6)</f>
        <v/>
      </c>
      <c r="E6">
        <f>VBA_Tokenize(D6)</f>
        <v/>
      </c>
      <c r="F6">
        <f>VBA_RemoveStopwords(E6)</f>
        <v/>
      </c>
      <c r="G6">
        <f>VBA_Stemming(F6)</f>
        <v/>
      </c>
      <c r="H6">
        <f>VBA_TFIDF_terribl(G6)</f>
        <v/>
      </c>
      <c r="I6">
        <f>VBA_TFIDF_bad(G6)</f>
        <v/>
      </c>
      <c r="J6">
        <f>VBA_TFIDF_worst(G6)</f>
        <v/>
      </c>
      <c r="K6">
        <f>VBA_TFIDF_hate(G6)</f>
        <v/>
      </c>
      <c r="L6">
        <f>VBA_TFIDF_good(G6)</f>
        <v/>
      </c>
      <c r="M6">
        <f>VBA_TFIDF_love(G6)</f>
        <v/>
      </c>
      <c r="N6">
        <f>VBA_TFIDF_great(G6)</f>
        <v/>
      </c>
      <c r="O6">
        <f>VBA_TFIDF_excellent(G6)</f>
        <v/>
      </c>
      <c r="P6">
        <f>VBA_Predict_SVM(H6:O6)</f>
        <v/>
      </c>
      <c r="Q6">
        <f>VBA_Predict_RF(H6:O6)</f>
        <v/>
      </c>
      <c r="R6">
        <f>VBA_CLV_Lifespan(P6)</f>
        <v/>
      </c>
      <c r="S6">
        <f>VBA_CLV_Loss(R6)</f>
        <v/>
      </c>
    </row>
    <row r="7">
      <c r="A7" t="inlineStr">
        <is>
          <t>Nice</t>
        </is>
      </c>
      <c r="B7">
        <f>VBA_CaseFolding(A7)</f>
        <v/>
      </c>
      <c r="C7">
        <f>VBA_Normalization(B7)</f>
        <v/>
      </c>
      <c r="D7">
        <f>VBA_RemoveNoise(C7)</f>
        <v/>
      </c>
      <c r="E7">
        <f>VBA_Tokenize(D7)</f>
        <v/>
      </c>
      <c r="F7">
        <f>VBA_RemoveStopwords(E7)</f>
        <v/>
      </c>
      <c r="G7">
        <f>VBA_Stemming(F7)</f>
        <v/>
      </c>
      <c r="H7">
        <f>VBA_TFIDF_terribl(G7)</f>
        <v/>
      </c>
      <c r="I7">
        <f>VBA_TFIDF_bad(G7)</f>
        <v/>
      </c>
      <c r="J7">
        <f>VBA_TFIDF_worst(G7)</f>
        <v/>
      </c>
      <c r="K7">
        <f>VBA_TFIDF_hate(G7)</f>
        <v/>
      </c>
      <c r="L7">
        <f>VBA_TFIDF_good(G7)</f>
        <v/>
      </c>
      <c r="M7">
        <f>VBA_TFIDF_love(G7)</f>
        <v/>
      </c>
      <c r="N7">
        <f>VBA_TFIDF_great(G7)</f>
        <v/>
      </c>
      <c r="O7">
        <f>VBA_TFIDF_excellent(G7)</f>
        <v/>
      </c>
      <c r="P7">
        <f>VBA_Predict_SVM(H7:O7)</f>
        <v/>
      </c>
      <c r="Q7">
        <f>VBA_Predict_RF(H7:O7)</f>
        <v/>
      </c>
      <c r="R7">
        <f>VBA_CLV_Lifespan(P7)</f>
        <v/>
      </c>
      <c r="S7">
        <f>VBA_CLV_Loss(R7)</f>
        <v/>
      </c>
    </row>
    <row r="8">
      <c r="A8" t="inlineStr">
        <is>
          <t>Old UI was great. But Netflix made UI to look like pornhub (why can't they change name too. From Netflix to NUDEFLIX)</t>
        </is>
      </c>
      <c r="B8">
        <f>VBA_CaseFolding(A8)</f>
        <v/>
      </c>
      <c r="C8">
        <f>VBA_Normalization(B8)</f>
        <v/>
      </c>
      <c r="D8">
        <f>VBA_RemoveNoise(C8)</f>
        <v/>
      </c>
      <c r="E8">
        <f>VBA_Tokenize(D8)</f>
        <v/>
      </c>
      <c r="F8">
        <f>VBA_RemoveStopwords(E8)</f>
        <v/>
      </c>
      <c r="G8">
        <f>VBA_Stemming(F8)</f>
        <v/>
      </c>
      <c r="H8">
        <f>VBA_TFIDF_terribl(G8)</f>
        <v/>
      </c>
      <c r="I8">
        <f>VBA_TFIDF_bad(G8)</f>
        <v/>
      </c>
      <c r="J8">
        <f>VBA_TFIDF_worst(G8)</f>
        <v/>
      </c>
      <c r="K8">
        <f>VBA_TFIDF_hate(G8)</f>
        <v/>
      </c>
      <c r="L8">
        <f>VBA_TFIDF_good(G8)</f>
        <v/>
      </c>
      <c r="M8">
        <f>VBA_TFIDF_love(G8)</f>
        <v/>
      </c>
      <c r="N8">
        <f>VBA_TFIDF_great(G8)</f>
        <v/>
      </c>
      <c r="O8">
        <f>VBA_TFIDF_excellent(G8)</f>
        <v/>
      </c>
      <c r="P8">
        <f>VBA_Predict_SVM(H8:O8)</f>
        <v/>
      </c>
      <c r="Q8">
        <f>VBA_Predict_RF(H8:O8)</f>
        <v/>
      </c>
      <c r="R8">
        <f>VBA_CLV_Lifespan(P8)</f>
        <v/>
      </c>
      <c r="S8">
        <f>VBA_CLV_Loss(R8)</f>
        <v/>
      </c>
    </row>
    <row r="9">
      <c r="A9" t="inlineStr">
        <is>
          <t>If you are new in netflix so you can't open your account ....server very slow I try to open an account since 4-5 hours but account cant open.</t>
        </is>
      </c>
      <c r="B9">
        <f>VBA_CaseFolding(A9)</f>
        <v/>
      </c>
      <c r="C9">
        <f>VBA_Normalization(B9)</f>
        <v/>
      </c>
      <c r="D9">
        <f>VBA_RemoveNoise(C9)</f>
        <v/>
      </c>
      <c r="E9">
        <f>VBA_Tokenize(D9)</f>
        <v/>
      </c>
      <c r="F9">
        <f>VBA_RemoveStopwords(E9)</f>
        <v/>
      </c>
      <c r="G9">
        <f>VBA_Stemming(F9)</f>
        <v/>
      </c>
      <c r="H9">
        <f>VBA_TFIDF_terribl(G9)</f>
        <v/>
      </c>
      <c r="I9">
        <f>VBA_TFIDF_bad(G9)</f>
        <v/>
      </c>
      <c r="J9">
        <f>VBA_TFIDF_worst(G9)</f>
        <v/>
      </c>
      <c r="K9">
        <f>VBA_TFIDF_hate(G9)</f>
        <v/>
      </c>
      <c r="L9">
        <f>VBA_TFIDF_good(G9)</f>
        <v/>
      </c>
      <c r="M9">
        <f>VBA_TFIDF_love(G9)</f>
        <v/>
      </c>
      <c r="N9">
        <f>VBA_TFIDF_great(G9)</f>
        <v/>
      </c>
      <c r="O9">
        <f>VBA_TFIDF_excellent(G9)</f>
        <v/>
      </c>
      <c r="P9">
        <f>VBA_Predict_SVM(H9:O9)</f>
        <v/>
      </c>
      <c r="Q9">
        <f>VBA_Predict_RF(H9:O9)</f>
        <v/>
      </c>
      <c r="R9">
        <f>VBA_CLV_Lifespan(P9)</f>
        <v/>
      </c>
      <c r="S9">
        <f>VBA_CLV_Loss(R9)</f>
        <v/>
      </c>
    </row>
    <row r="10">
      <c r="A10" t="inlineStr">
        <is>
          <t>Had it for like 4 years got premium everytime till it kept turing black</t>
        </is>
      </c>
      <c r="B10">
        <f>VBA_CaseFolding(A10)</f>
        <v/>
      </c>
      <c r="C10">
        <f>VBA_Normalization(B10)</f>
        <v/>
      </c>
      <c r="D10">
        <f>VBA_RemoveNoise(C10)</f>
        <v/>
      </c>
      <c r="E10">
        <f>VBA_Tokenize(D10)</f>
        <v/>
      </c>
      <c r="F10">
        <f>VBA_RemoveStopwords(E10)</f>
        <v/>
      </c>
      <c r="G10">
        <f>VBA_Stemming(F10)</f>
        <v/>
      </c>
      <c r="H10">
        <f>VBA_TFIDF_terribl(G10)</f>
        <v/>
      </c>
      <c r="I10">
        <f>VBA_TFIDF_bad(G10)</f>
        <v/>
      </c>
      <c r="J10">
        <f>VBA_TFIDF_worst(G10)</f>
        <v/>
      </c>
      <c r="K10">
        <f>VBA_TFIDF_hate(G10)</f>
        <v/>
      </c>
      <c r="L10">
        <f>VBA_TFIDF_good(G10)</f>
        <v/>
      </c>
      <c r="M10">
        <f>VBA_TFIDF_love(G10)</f>
        <v/>
      </c>
      <c r="N10">
        <f>VBA_TFIDF_great(G10)</f>
        <v/>
      </c>
      <c r="O10">
        <f>VBA_TFIDF_excellent(G10)</f>
        <v/>
      </c>
      <c r="P10">
        <f>VBA_Predict_SVM(H10:O10)</f>
        <v/>
      </c>
      <c r="Q10">
        <f>VBA_Predict_RF(H10:O10)</f>
        <v/>
      </c>
      <c r="R10">
        <f>VBA_CLV_Lifespan(P10)</f>
        <v/>
      </c>
      <c r="S10">
        <f>VBA_CLV_Loss(R10)</f>
        <v/>
      </c>
    </row>
    <row r="11">
      <c r="A11" t="inlineStr">
        <is>
          <t>There is no upi transtuction and this is a huge problem for me because my mostly payment done by the upi payment process and one thing there servicing is so poor.</t>
        </is>
      </c>
      <c r="B11">
        <f>VBA_CaseFolding(A11)</f>
        <v/>
      </c>
      <c r="C11">
        <f>VBA_Normalization(B11)</f>
        <v/>
      </c>
      <c r="D11">
        <f>VBA_RemoveNoise(C11)</f>
        <v/>
      </c>
      <c r="E11">
        <f>VBA_Tokenize(D11)</f>
        <v/>
      </c>
      <c r="F11">
        <f>VBA_RemoveStopwords(E11)</f>
        <v/>
      </c>
      <c r="G11">
        <f>VBA_Stemming(F11)</f>
        <v/>
      </c>
      <c r="H11">
        <f>VBA_TFIDF_terribl(G11)</f>
        <v/>
      </c>
      <c r="I11">
        <f>VBA_TFIDF_bad(G11)</f>
        <v/>
      </c>
      <c r="J11">
        <f>VBA_TFIDF_worst(G11)</f>
        <v/>
      </c>
      <c r="K11">
        <f>VBA_TFIDF_hate(G11)</f>
        <v/>
      </c>
      <c r="L11">
        <f>VBA_TFIDF_good(G11)</f>
        <v/>
      </c>
      <c r="M11">
        <f>VBA_TFIDF_love(G11)</f>
        <v/>
      </c>
      <c r="N11">
        <f>VBA_TFIDF_great(G11)</f>
        <v/>
      </c>
      <c r="O11">
        <f>VBA_TFIDF_excellent(G11)</f>
        <v/>
      </c>
      <c r="P11">
        <f>VBA_Predict_SVM(H11:O11)</f>
        <v/>
      </c>
      <c r="Q11">
        <f>VBA_Predict_RF(H11:O11)</f>
        <v/>
      </c>
      <c r="R11">
        <f>VBA_CLV_Lifespan(P11)</f>
        <v/>
      </c>
      <c r="S11">
        <f>VBA_CLV_Loss(R11)</f>
        <v/>
      </c>
    </row>
    <row r="12">
      <c r="A12" t="inlineStr">
        <is>
          <t>Well it doesn't even deserve a star but still give it one. This is a very bad app, it keeps asking for money all the time.😅💀😤 there is nothing free in this..😭</t>
        </is>
      </c>
      <c r="B12">
        <f>VBA_CaseFolding(A12)</f>
        <v/>
      </c>
      <c r="C12">
        <f>VBA_Normalization(B12)</f>
        <v/>
      </c>
      <c r="D12">
        <f>VBA_RemoveNoise(C12)</f>
        <v/>
      </c>
      <c r="E12">
        <f>VBA_Tokenize(D12)</f>
        <v/>
      </c>
      <c r="F12">
        <f>VBA_RemoveStopwords(E12)</f>
        <v/>
      </c>
      <c r="G12">
        <f>VBA_Stemming(F12)</f>
        <v/>
      </c>
      <c r="H12">
        <f>VBA_TFIDF_terribl(G12)</f>
        <v/>
      </c>
      <c r="I12">
        <f>VBA_TFIDF_bad(G12)</f>
        <v/>
      </c>
      <c r="J12">
        <f>VBA_TFIDF_worst(G12)</f>
        <v/>
      </c>
      <c r="K12">
        <f>VBA_TFIDF_hate(G12)</f>
        <v/>
      </c>
      <c r="L12">
        <f>VBA_TFIDF_good(G12)</f>
        <v/>
      </c>
      <c r="M12">
        <f>VBA_TFIDF_love(G12)</f>
        <v/>
      </c>
      <c r="N12">
        <f>VBA_TFIDF_great(G12)</f>
        <v/>
      </c>
      <c r="O12">
        <f>VBA_TFIDF_excellent(G12)</f>
        <v/>
      </c>
      <c r="P12">
        <f>VBA_Predict_SVM(H12:O12)</f>
        <v/>
      </c>
      <c r="Q12">
        <f>VBA_Predict_RF(H12:O12)</f>
        <v/>
      </c>
      <c r="R12">
        <f>VBA_CLV_Lifespan(P12)</f>
        <v/>
      </c>
      <c r="S12">
        <f>VBA_CLV_Loss(R12)</f>
        <v/>
      </c>
    </row>
    <row r="13">
      <c r="A13" t="inlineStr">
        <is>
          <t>Please add more anime</t>
        </is>
      </c>
      <c r="B13">
        <f>VBA_CaseFolding(A13)</f>
        <v/>
      </c>
      <c r="C13">
        <f>VBA_Normalization(B13)</f>
        <v/>
      </c>
      <c r="D13">
        <f>VBA_RemoveNoise(C13)</f>
        <v/>
      </c>
      <c r="E13">
        <f>VBA_Tokenize(D13)</f>
        <v/>
      </c>
      <c r="F13">
        <f>VBA_RemoveStopwords(E13)</f>
        <v/>
      </c>
      <c r="G13">
        <f>VBA_Stemming(F13)</f>
        <v/>
      </c>
      <c r="H13">
        <f>VBA_TFIDF_terribl(G13)</f>
        <v/>
      </c>
      <c r="I13">
        <f>VBA_TFIDF_bad(G13)</f>
        <v/>
      </c>
      <c r="J13">
        <f>VBA_TFIDF_worst(G13)</f>
        <v/>
      </c>
      <c r="K13">
        <f>VBA_TFIDF_hate(G13)</f>
        <v/>
      </c>
      <c r="L13">
        <f>VBA_TFIDF_good(G13)</f>
        <v/>
      </c>
      <c r="M13">
        <f>VBA_TFIDF_love(G13)</f>
        <v/>
      </c>
      <c r="N13">
        <f>VBA_TFIDF_great(G13)</f>
        <v/>
      </c>
      <c r="O13">
        <f>VBA_TFIDF_excellent(G13)</f>
        <v/>
      </c>
      <c r="P13">
        <f>VBA_Predict_SVM(H13:O13)</f>
        <v/>
      </c>
      <c r="Q13">
        <f>VBA_Predict_RF(H13:O13)</f>
        <v/>
      </c>
      <c r="R13">
        <f>VBA_CLV_Lifespan(P13)</f>
        <v/>
      </c>
      <c r="S13">
        <f>VBA_CLV_Loss(R13)</f>
        <v/>
      </c>
    </row>
    <row r="14">
      <c r="A14" t="inlineStr">
        <is>
          <t>Ok, I no longer pay for old boring movies when I can stream elsewhere for free online. Deleted netflix - hello prime/Disney &amp; others. C ya netflix</t>
        </is>
      </c>
      <c r="B14">
        <f>VBA_CaseFolding(A14)</f>
        <v/>
      </c>
      <c r="C14">
        <f>VBA_Normalization(B14)</f>
        <v/>
      </c>
      <c r="D14">
        <f>VBA_RemoveNoise(C14)</f>
        <v/>
      </c>
      <c r="E14">
        <f>VBA_Tokenize(D14)</f>
        <v/>
      </c>
      <c r="F14">
        <f>VBA_RemoveStopwords(E14)</f>
        <v/>
      </c>
      <c r="G14">
        <f>VBA_Stemming(F14)</f>
        <v/>
      </c>
      <c r="H14">
        <f>VBA_TFIDF_terribl(G14)</f>
        <v/>
      </c>
      <c r="I14">
        <f>VBA_TFIDF_bad(G14)</f>
        <v/>
      </c>
      <c r="J14">
        <f>VBA_TFIDF_worst(G14)</f>
        <v/>
      </c>
      <c r="K14">
        <f>VBA_TFIDF_hate(G14)</f>
        <v/>
      </c>
      <c r="L14">
        <f>VBA_TFIDF_good(G14)</f>
        <v/>
      </c>
      <c r="M14">
        <f>VBA_TFIDF_love(G14)</f>
        <v/>
      </c>
      <c r="N14">
        <f>VBA_TFIDF_great(G14)</f>
        <v/>
      </c>
      <c r="O14">
        <f>VBA_TFIDF_excellent(G14)</f>
        <v/>
      </c>
      <c r="P14">
        <f>VBA_Predict_SVM(H14:O14)</f>
        <v/>
      </c>
      <c r="Q14">
        <f>VBA_Predict_RF(H14:O14)</f>
        <v/>
      </c>
      <c r="R14">
        <f>VBA_CLV_Lifespan(P14)</f>
        <v/>
      </c>
      <c r="S14">
        <f>VBA_CLV_Loss(R14)</f>
        <v/>
      </c>
    </row>
    <row r="15">
      <c r="A15" t="inlineStr">
        <is>
          <t>Not good for begenners</t>
        </is>
      </c>
      <c r="B15">
        <f>VBA_CaseFolding(A15)</f>
        <v/>
      </c>
      <c r="C15">
        <f>VBA_Normalization(B15)</f>
        <v/>
      </c>
      <c r="D15">
        <f>VBA_RemoveNoise(C15)</f>
        <v/>
      </c>
      <c r="E15">
        <f>VBA_Tokenize(D15)</f>
        <v/>
      </c>
      <c r="F15">
        <f>VBA_RemoveStopwords(E15)</f>
        <v/>
      </c>
      <c r="G15">
        <f>VBA_Stemming(F15)</f>
        <v/>
      </c>
      <c r="H15">
        <f>VBA_TFIDF_terribl(G15)</f>
        <v/>
      </c>
      <c r="I15">
        <f>VBA_TFIDF_bad(G15)</f>
        <v/>
      </c>
      <c r="J15">
        <f>VBA_TFIDF_worst(G15)</f>
        <v/>
      </c>
      <c r="K15">
        <f>VBA_TFIDF_hate(G15)</f>
        <v/>
      </c>
      <c r="L15">
        <f>VBA_TFIDF_good(G15)</f>
        <v/>
      </c>
      <c r="M15">
        <f>VBA_TFIDF_love(G15)</f>
        <v/>
      </c>
      <c r="N15">
        <f>VBA_TFIDF_great(G15)</f>
        <v/>
      </c>
      <c r="O15">
        <f>VBA_TFIDF_excellent(G15)</f>
        <v/>
      </c>
      <c r="P15">
        <f>VBA_Predict_SVM(H15:O15)</f>
        <v/>
      </c>
      <c r="Q15">
        <f>VBA_Predict_RF(H15:O15)</f>
        <v/>
      </c>
      <c r="R15">
        <f>VBA_CLV_Lifespan(P15)</f>
        <v/>
      </c>
      <c r="S15">
        <f>VBA_CLV_Loss(R15)</f>
        <v/>
      </c>
    </row>
    <row r="16">
      <c r="A16" t="inlineStr">
        <is>
          <t>Error 5.7. Nothing works. No way to fix this and impossible to watch a movie. Now I'm wondering: why we continue to pay this s......?</t>
        </is>
      </c>
      <c r="B16">
        <f>VBA_CaseFolding(A16)</f>
        <v/>
      </c>
      <c r="C16">
        <f>VBA_Normalization(B16)</f>
        <v/>
      </c>
      <c r="D16">
        <f>VBA_RemoveNoise(C16)</f>
        <v/>
      </c>
      <c r="E16">
        <f>VBA_Tokenize(D16)</f>
        <v/>
      </c>
      <c r="F16">
        <f>VBA_RemoveStopwords(E16)</f>
        <v/>
      </c>
      <c r="G16">
        <f>VBA_Stemming(F16)</f>
        <v/>
      </c>
      <c r="H16">
        <f>VBA_TFIDF_terribl(G16)</f>
        <v/>
      </c>
      <c r="I16">
        <f>VBA_TFIDF_bad(G16)</f>
        <v/>
      </c>
      <c r="J16">
        <f>VBA_TFIDF_worst(G16)</f>
        <v/>
      </c>
      <c r="K16">
        <f>VBA_TFIDF_hate(G16)</f>
        <v/>
      </c>
      <c r="L16">
        <f>VBA_TFIDF_good(G16)</f>
        <v/>
      </c>
      <c r="M16">
        <f>VBA_TFIDF_love(G16)</f>
        <v/>
      </c>
      <c r="N16">
        <f>VBA_TFIDF_great(G16)</f>
        <v/>
      </c>
      <c r="O16">
        <f>VBA_TFIDF_excellent(G16)</f>
        <v/>
      </c>
      <c r="P16">
        <f>VBA_Predict_SVM(H16:O16)</f>
        <v/>
      </c>
      <c r="Q16">
        <f>VBA_Predict_RF(H16:O16)</f>
        <v/>
      </c>
      <c r="R16">
        <f>VBA_CLV_Lifespan(P16)</f>
        <v/>
      </c>
      <c r="S16">
        <f>VBA_CLV_Loss(R16)</f>
        <v/>
      </c>
    </row>
    <row r="17">
      <c r="A17" t="inlineStr">
        <is>
          <t>good</t>
        </is>
      </c>
      <c r="B17">
        <f>VBA_CaseFolding(A17)</f>
        <v/>
      </c>
      <c r="C17">
        <f>VBA_Normalization(B17)</f>
        <v/>
      </c>
      <c r="D17">
        <f>VBA_RemoveNoise(C17)</f>
        <v/>
      </c>
      <c r="E17">
        <f>VBA_Tokenize(D17)</f>
        <v/>
      </c>
      <c r="F17">
        <f>VBA_RemoveStopwords(E17)</f>
        <v/>
      </c>
      <c r="G17">
        <f>VBA_Stemming(F17)</f>
        <v/>
      </c>
      <c r="H17">
        <f>VBA_TFIDF_terribl(G17)</f>
        <v/>
      </c>
      <c r="I17">
        <f>VBA_TFIDF_bad(G17)</f>
        <v/>
      </c>
      <c r="J17">
        <f>VBA_TFIDF_worst(G17)</f>
        <v/>
      </c>
      <c r="K17">
        <f>VBA_TFIDF_hate(G17)</f>
        <v/>
      </c>
      <c r="L17">
        <f>VBA_TFIDF_good(G17)</f>
        <v/>
      </c>
      <c r="M17">
        <f>VBA_TFIDF_love(G17)</f>
        <v/>
      </c>
      <c r="N17">
        <f>VBA_TFIDF_great(G17)</f>
        <v/>
      </c>
      <c r="O17">
        <f>VBA_TFIDF_excellent(G17)</f>
        <v/>
      </c>
      <c r="P17">
        <f>VBA_Predict_SVM(H17:O17)</f>
        <v/>
      </c>
      <c r="Q17">
        <f>VBA_Predict_RF(H17:O17)</f>
        <v/>
      </c>
      <c r="R17">
        <f>VBA_CLV_Lifespan(P17)</f>
        <v/>
      </c>
      <c r="S17">
        <f>VBA_CLV_Loss(R17)</f>
        <v/>
      </c>
    </row>
    <row r="18">
      <c r="A18" t="inlineStr">
        <is>
          <t>Try asking before you entitle yourself to charging people for useless obsolete things. It does not matter if my family are in one household or not. Thats just whoremongering greedy. I was paying for the ultimate plan .. and you were collecting 7.99 for dvd "just in case" rent monthly which was never authorized or used.. at 30.00 a mnth its none of your damn business where any of us are. Just Nosing around for your greed. 10 years of you helping yourselves to my pocket book is enough. BYE.</t>
        </is>
      </c>
      <c r="B18">
        <f>VBA_CaseFolding(A18)</f>
        <v/>
      </c>
      <c r="C18">
        <f>VBA_Normalization(B18)</f>
        <v/>
      </c>
      <c r="D18">
        <f>VBA_RemoveNoise(C18)</f>
        <v/>
      </c>
      <c r="E18">
        <f>VBA_Tokenize(D18)</f>
        <v/>
      </c>
      <c r="F18">
        <f>VBA_RemoveStopwords(E18)</f>
        <v/>
      </c>
      <c r="G18">
        <f>VBA_Stemming(F18)</f>
        <v/>
      </c>
      <c r="H18">
        <f>VBA_TFIDF_terribl(G18)</f>
        <v/>
      </c>
      <c r="I18">
        <f>VBA_TFIDF_bad(G18)</f>
        <v/>
      </c>
      <c r="J18">
        <f>VBA_TFIDF_worst(G18)</f>
        <v/>
      </c>
      <c r="K18">
        <f>VBA_TFIDF_hate(G18)</f>
        <v/>
      </c>
      <c r="L18">
        <f>VBA_TFIDF_good(G18)</f>
        <v/>
      </c>
      <c r="M18">
        <f>VBA_TFIDF_love(G18)</f>
        <v/>
      </c>
      <c r="N18">
        <f>VBA_TFIDF_great(G18)</f>
        <v/>
      </c>
      <c r="O18">
        <f>VBA_TFIDF_excellent(G18)</f>
        <v/>
      </c>
      <c r="P18">
        <f>VBA_Predict_SVM(H18:O18)</f>
        <v/>
      </c>
      <c r="Q18">
        <f>VBA_Predict_RF(H18:O18)</f>
        <v/>
      </c>
      <c r="R18">
        <f>VBA_CLV_Lifespan(P18)</f>
        <v/>
      </c>
      <c r="S18">
        <f>VBA_CLV_Loss(R18)</f>
        <v/>
      </c>
    </row>
    <row r="19">
      <c r="A19" t="inlineStr">
        <is>
          <t>i love this app but sadly my fav movies r disepearing from netflix and moving to disney plus i dont want to get disny plus but i kinda need to</t>
        </is>
      </c>
      <c r="B19">
        <f>VBA_CaseFolding(A19)</f>
        <v/>
      </c>
      <c r="C19">
        <f>VBA_Normalization(B19)</f>
        <v/>
      </c>
      <c r="D19">
        <f>VBA_RemoveNoise(C19)</f>
        <v/>
      </c>
      <c r="E19">
        <f>VBA_Tokenize(D19)</f>
        <v/>
      </c>
      <c r="F19">
        <f>VBA_RemoveStopwords(E19)</f>
        <v/>
      </c>
      <c r="G19">
        <f>VBA_Stemming(F19)</f>
        <v/>
      </c>
      <c r="H19">
        <f>VBA_TFIDF_terribl(G19)</f>
        <v/>
      </c>
      <c r="I19">
        <f>VBA_TFIDF_bad(G19)</f>
        <v/>
      </c>
      <c r="J19">
        <f>VBA_TFIDF_worst(G19)</f>
        <v/>
      </c>
      <c r="K19">
        <f>VBA_TFIDF_hate(G19)</f>
        <v/>
      </c>
      <c r="L19">
        <f>VBA_TFIDF_good(G19)</f>
        <v/>
      </c>
      <c r="M19">
        <f>VBA_TFIDF_love(G19)</f>
        <v/>
      </c>
      <c r="N19">
        <f>VBA_TFIDF_great(G19)</f>
        <v/>
      </c>
      <c r="O19">
        <f>VBA_TFIDF_excellent(G19)</f>
        <v/>
      </c>
      <c r="P19">
        <f>VBA_Predict_SVM(H19:O19)</f>
        <v/>
      </c>
      <c r="Q19">
        <f>VBA_Predict_RF(H19:O19)</f>
        <v/>
      </c>
      <c r="R19">
        <f>VBA_CLV_Lifespan(P19)</f>
        <v/>
      </c>
      <c r="S19">
        <f>VBA_CLV_Loss(R19)</f>
        <v/>
      </c>
    </row>
    <row r="20">
      <c r="A20" t="inlineStr">
        <is>
          <t>Awful updates. Can no longer cast most of the time. Can't find my recent history easily without tapping into multiple places. My watch list is also in a hidden place. These should be accessible because people come here into the app to click on something they want to watch immediately. We shouldn't be scrolling like Instagram. Giant images of shows that I don't want to watch take up screen space. I have to manually go into set my own user settings to access what I want to watch. Please fix this.</t>
        </is>
      </c>
      <c r="B20">
        <f>VBA_CaseFolding(A20)</f>
        <v/>
      </c>
      <c r="C20">
        <f>VBA_Normalization(B20)</f>
        <v/>
      </c>
      <c r="D20">
        <f>VBA_RemoveNoise(C20)</f>
        <v/>
      </c>
      <c r="E20">
        <f>VBA_Tokenize(D20)</f>
        <v/>
      </c>
      <c r="F20">
        <f>VBA_RemoveStopwords(E20)</f>
        <v/>
      </c>
      <c r="G20">
        <f>VBA_Stemming(F20)</f>
        <v/>
      </c>
      <c r="H20">
        <f>VBA_TFIDF_terribl(G20)</f>
        <v/>
      </c>
      <c r="I20">
        <f>VBA_TFIDF_bad(G20)</f>
        <v/>
      </c>
      <c r="J20">
        <f>VBA_TFIDF_worst(G20)</f>
        <v/>
      </c>
      <c r="K20">
        <f>VBA_TFIDF_hate(G20)</f>
        <v/>
      </c>
      <c r="L20">
        <f>VBA_TFIDF_good(G20)</f>
        <v/>
      </c>
      <c r="M20">
        <f>VBA_TFIDF_love(G20)</f>
        <v/>
      </c>
      <c r="N20">
        <f>VBA_TFIDF_great(G20)</f>
        <v/>
      </c>
      <c r="O20">
        <f>VBA_TFIDF_excellent(G20)</f>
        <v/>
      </c>
      <c r="P20">
        <f>VBA_Predict_SVM(H20:O20)</f>
        <v/>
      </c>
      <c r="Q20">
        <f>VBA_Predict_RF(H20:O20)</f>
        <v/>
      </c>
      <c r="R20">
        <f>VBA_CLV_Lifespan(P20)</f>
        <v/>
      </c>
      <c r="S20">
        <f>VBA_CLV_Loss(R20)</f>
        <v/>
      </c>
    </row>
    <row r="21">
      <c r="A21" t="inlineStr">
        <is>
          <t>Be even better if you had a listen only screen off option for the stand up comic vids. (Three stars to get your attention)</t>
        </is>
      </c>
      <c r="B21">
        <f>VBA_CaseFolding(A21)</f>
        <v/>
      </c>
      <c r="C21">
        <f>VBA_Normalization(B21)</f>
        <v/>
      </c>
      <c r="D21">
        <f>VBA_RemoveNoise(C21)</f>
        <v/>
      </c>
      <c r="E21">
        <f>VBA_Tokenize(D21)</f>
        <v/>
      </c>
      <c r="F21">
        <f>VBA_RemoveStopwords(E21)</f>
        <v/>
      </c>
      <c r="G21">
        <f>VBA_Stemming(F21)</f>
        <v/>
      </c>
      <c r="H21">
        <f>VBA_TFIDF_terribl(G21)</f>
        <v/>
      </c>
      <c r="I21">
        <f>VBA_TFIDF_bad(G21)</f>
        <v/>
      </c>
      <c r="J21">
        <f>VBA_TFIDF_worst(G21)</f>
        <v/>
      </c>
      <c r="K21">
        <f>VBA_TFIDF_hate(G21)</f>
        <v/>
      </c>
      <c r="L21">
        <f>VBA_TFIDF_good(G21)</f>
        <v/>
      </c>
      <c r="M21">
        <f>VBA_TFIDF_love(G21)</f>
        <v/>
      </c>
      <c r="N21">
        <f>VBA_TFIDF_great(G21)</f>
        <v/>
      </c>
      <c r="O21">
        <f>VBA_TFIDF_excellent(G21)</f>
        <v/>
      </c>
      <c r="P21">
        <f>VBA_Predict_SVM(H21:O21)</f>
        <v/>
      </c>
      <c r="Q21">
        <f>VBA_Predict_RF(H21:O21)</f>
        <v/>
      </c>
      <c r="R21">
        <f>VBA_CLV_Lifespan(P21)</f>
        <v/>
      </c>
      <c r="S21">
        <f>VBA_CLV_Loss(R21)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2026-07-16T13:06:10Z</dcterms:created>
  <dcterms:modified xsi:type="dcterms:W3CDTF">2026-07-16T13:06:10Z</dcterms:modified>
</cp:coreProperties>
</file>